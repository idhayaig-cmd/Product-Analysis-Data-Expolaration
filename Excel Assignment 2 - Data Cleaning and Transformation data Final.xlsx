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583160f5c2ea52/Desktop/ASSIGNMENT 2/"/>
    </mc:Choice>
  </mc:AlternateContent>
  <xr:revisionPtr revIDLastSave="920" documentId="11_7CCC9F2C5B76BF26C360946B99B2311B6E623468" xr6:coauthVersionLast="47" xr6:coauthVersionMax="47" xr10:uidLastSave="{49AC8C6B-5742-4443-9F99-B374D654821A}"/>
  <bookViews>
    <workbookView xWindow="-108" yWindow="-108" windowWidth="23256" windowHeight="1389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C43" i="1" l="1"/>
  <c r="C42" i="1"/>
  <c r="N86" i="1"/>
  <c r="N72" i="1"/>
  <c r="N71" i="1"/>
  <c r="N57" i="1"/>
  <c r="N51" i="1"/>
  <c r="N50" i="1"/>
  <c r="N22" i="1"/>
  <c r="N14" i="1"/>
  <c r="N9" i="1"/>
  <c r="N8" i="1"/>
  <c r="N10" i="1"/>
</calcChain>
</file>

<file path=xl/sharedStrings.xml><?xml version="1.0" encoding="utf-8"?>
<sst xmlns="http://schemas.openxmlformats.org/spreadsheetml/2006/main" count="321" uniqueCount="238">
  <si>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</si>
  <si>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</si>
  <si>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</si>
  <si>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</si>
  <si>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</si>
  <si>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</si>
  <si>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</si>
  <si>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</si>
  <si>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15-FEB-US</t>
  </si>
  <si>
    <t>Sneakers</t>
  </si>
  <si>
    <t>Nike</t>
  </si>
  <si>
    <t>03-MAR-US</t>
  </si>
  <si>
    <t>Coffee Maker</t>
  </si>
  <si>
    <t>Keurig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</si>
  <si>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</si>
  <si>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</si>
  <si>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</si>
  <si>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</si>
  <si>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</si>
  <si>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</si>
  <si>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</si>
  <si>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</si>
  <si>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</si>
  <si>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</si>
  <si>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</si>
  <si>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</si>
  <si>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</si>
  <si>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</si>
  <si>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</si>
  <si>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</si>
  <si>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</si>
  <si>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</si>
  <si>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</si>
  <si>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</si>
  <si>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Laptop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</si>
  <si>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</si>
  <si>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</si>
  <si>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</si>
  <si>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</si>
  <si>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</si>
  <si>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</si>
  <si>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</si>
  <si>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</si>
  <si>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</si>
  <si>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</si>
  <si>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</si>
  <si>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</si>
  <si>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</si>
  <si>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</si>
  <si>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</si>
  <si>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</si>
  <si>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</si>
  <si>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</si>
  <si>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</si>
  <si>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</si>
  <si>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</si>
  <si>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</si>
  <si>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</si>
  <si>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</si>
  <si>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</si>
  <si>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</si>
  <si>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</si>
  <si>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</si>
  <si>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</si>
  <si>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</si>
  <si>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</si>
  <si>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</si>
  <si>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</si>
  <si>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</si>
  <si>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</si>
  <si>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</si>
  <si>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</si>
  <si>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</si>
  <si>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</si>
  <si>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</si>
  <si>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</si>
  <si>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</si>
  <si>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</si>
  <si>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</si>
  <si>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</si>
  <si>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</si>
  <si>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</si>
  <si>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09-JUL-FR</t>
  </si>
  <si>
    <t>Watch</t>
  </si>
  <si>
    <t>Casio</t>
  </si>
  <si>
    <t>Questions 1</t>
  </si>
  <si>
    <t>1) Check for missing values in the 'Price' column. How would you handle products with missing price information?</t>
  </si>
  <si>
    <t>Formulae</t>
  </si>
  <si>
    <t>Answers</t>
  </si>
  <si>
    <t>Questions 2</t>
  </si>
  <si>
    <t>1) Identify any inconsistent text formats present in the "Product Name" column.</t>
  </si>
  <si>
    <t>1) Identify any duplicate rows within the dataset based on the entirety of each row, and remove them if any.</t>
  </si>
  <si>
    <t>Questions 3</t>
  </si>
  <si>
    <t>Answer</t>
  </si>
  <si>
    <t>Questions 4</t>
  </si>
  <si>
    <t>1) Split the "Product ID" column into two separate columns for " Manufacturing Date" and "Country Code". Remove unnecessary characters, if any.</t>
  </si>
  <si>
    <t>Questions 5</t>
  </si>
  <si>
    <t xml:space="preserve">1) Format the data type of the "Price" column to a currency format. </t>
  </si>
  <si>
    <t>2) Format the "Manufacturing Date" column to display dates in the "DD-MM-YYYY " format.</t>
  </si>
  <si>
    <t>Questions 6</t>
  </si>
  <si>
    <t>1) Apply data bar or color scales conditional formatting in the "Price" column.</t>
  </si>
  <si>
    <t>2) Create a custom rule for conditional formatting in the "Category" column to highlight cells where the category is "Electronics."</t>
  </si>
  <si>
    <t>Mode</t>
  </si>
  <si>
    <t>Median</t>
  </si>
  <si>
    <t>$130</t>
  </si>
  <si>
    <t>ELECTRONICS</t>
  </si>
  <si>
    <t>FASHION</t>
  </si>
  <si>
    <t>KITCHEN</t>
  </si>
  <si>
    <t>OUTDOOR</t>
  </si>
  <si>
    <t>ACCESSORIES</t>
  </si>
  <si>
    <t>$1000 , Price Avaliable,$130</t>
  </si>
  <si>
    <r>
      <t>2)</t>
    </r>
    <r>
      <rPr>
        <sz val="14"/>
        <color rgb="FFFF0000"/>
        <rFont val="Calibri"/>
        <family val="2"/>
      </rPr>
      <t xml:space="preserve"> </t>
    </r>
    <r>
      <rPr>
        <sz val="14"/>
        <color rgb="FFFF0000"/>
        <rFont val="Aptos"/>
        <family val="2"/>
      </rPr>
      <t>If there are products with missing categories, propose a strategy to impute or deal with these missing values effectively.</t>
    </r>
  </si>
  <si>
    <r>
      <t>2)</t>
    </r>
    <r>
      <rPr>
        <sz val="14"/>
        <color rgb="FFFF0000"/>
        <rFont val="Calibri"/>
        <family val="2"/>
      </rPr>
      <t xml:space="preserve"> </t>
    </r>
    <r>
      <rPr>
        <sz val="14"/>
        <color rgb="FFFF0000"/>
        <rFont val="Aptos"/>
        <family val="2"/>
      </rPr>
      <t>Identify any typos present in the "Category" column.</t>
    </r>
  </si>
  <si>
    <r>
      <t>3)</t>
    </r>
    <r>
      <rPr>
        <sz val="14"/>
        <color rgb="FFFF0000"/>
        <rFont val="Calibri"/>
        <family val="2"/>
      </rPr>
      <t xml:space="preserve"> </t>
    </r>
    <r>
      <rPr>
        <sz val="14"/>
        <color rgb="FFFF0000"/>
        <rFont val="Aptos"/>
        <family val="2"/>
      </rPr>
      <t>Use the find and replace function to standardize the text formats in the "Product Name" column and fix any typos or misspellings in the "Category" column.</t>
    </r>
  </si>
  <si>
    <r>
      <t>2)</t>
    </r>
    <r>
      <rPr>
        <sz val="14"/>
        <color rgb="FFFF0000"/>
        <rFont val="Calibri"/>
        <family val="2"/>
      </rPr>
      <t xml:space="preserve"> </t>
    </r>
    <r>
      <rPr>
        <sz val="14"/>
        <color rgb="FFFF0000"/>
        <rFont val="Aptos"/>
        <family val="2"/>
      </rPr>
      <t>Merge the "Brand Name" and "Product Name" columns into one column named "Product Brand".</t>
    </r>
  </si>
  <si>
    <t>T-Shirt</t>
  </si>
  <si>
    <t>Hp</t>
  </si>
  <si>
    <t>Levi'S</t>
  </si>
  <si>
    <t>Formulaes</t>
  </si>
  <si>
    <t>Country Code</t>
  </si>
  <si>
    <t>Manufacture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</si>
  <si>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</si>
  <si>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</si>
  <si>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</si>
  <si>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</si>
  <si>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</si>
  <si>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</si>
  <si>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</si>
  <si>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</si>
  <si>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</si>
  <si>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</si>
  <si>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</si>
  <si>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</si>
  <si>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09-JUL</t>
  </si>
  <si>
    <t>02-DEC</t>
  </si>
  <si>
    <t>24-MAY</t>
  </si>
  <si>
    <t>13-APR</t>
  </si>
  <si>
    <t>07-MAR</t>
  </si>
  <si>
    <t>11-JUL</t>
  </si>
  <si>
    <t>03-JUN</t>
  </si>
  <si>
    <t>29-SEP</t>
  </si>
  <si>
    <t>19-JUL</t>
  </si>
  <si>
    <t>09-JAN</t>
  </si>
  <si>
    <t>14-MAY</t>
  </si>
  <si>
    <t>14-AUG</t>
  </si>
  <si>
    <t>01-MAR</t>
  </si>
  <si>
    <t>27-JAN</t>
  </si>
  <si>
    <t>20-AUG</t>
  </si>
  <si>
    <t>21-AUG</t>
  </si>
  <si>
    <t>16-APR</t>
  </si>
  <si>
    <t>18-FEB</t>
  </si>
  <si>
    <t>08-DEC</t>
  </si>
  <si>
    <t>25-NOV</t>
  </si>
  <si>
    <t>17-JUN</t>
  </si>
  <si>
    <t>14-OCT</t>
  </si>
  <si>
    <t>05-SEP</t>
  </si>
  <si>
    <t>23-AUG</t>
  </si>
  <si>
    <t>07-JUN</t>
  </si>
  <si>
    <t>22-MAY</t>
  </si>
  <si>
    <t>11-APR</t>
  </si>
  <si>
    <t>03-MAR</t>
  </si>
  <si>
    <t>15-FEB</t>
  </si>
  <si>
    <t>28-JAN</t>
  </si>
  <si>
    <r>
      <t>Find and Replace . Find</t>
    </r>
    <r>
      <rPr>
        <b/>
        <sz val="10"/>
        <color rgb="FF000000"/>
        <rFont val="Arial"/>
        <family val="2"/>
        <scheme val="minor"/>
      </rPr>
      <t xml:space="preserve"> "ELECTRONI</t>
    </r>
    <r>
      <rPr>
        <sz val="10"/>
        <color rgb="FF000000"/>
        <rFont val="Arial"/>
        <family val="2"/>
        <scheme val="minor"/>
      </rPr>
      <t xml:space="preserve"> " to replace with</t>
    </r>
    <r>
      <rPr>
        <b/>
        <sz val="10"/>
        <color rgb="FF000000"/>
        <rFont val="Arial"/>
        <family val="2"/>
        <scheme val="minor"/>
      </rPr>
      <t xml:space="preserve"> "ELECTRONICS "</t>
    </r>
  </si>
  <si>
    <t xml:space="preserve">ELECTRONICS </t>
  </si>
  <si>
    <r>
      <rPr>
        <sz val="14"/>
        <color rgb="FF000000"/>
        <rFont val="Arial"/>
        <family val="2"/>
        <scheme val="minor"/>
      </rPr>
      <t>3 row duplicate is found</t>
    </r>
    <r>
      <rPr>
        <u val="double"/>
        <sz val="14"/>
        <color rgb="FF000000"/>
        <rFont val="Arial"/>
        <family val="2"/>
        <scheme val="minor"/>
      </rPr>
      <t xml:space="preserve"> </t>
    </r>
    <r>
      <rPr>
        <b/>
        <sz val="14"/>
        <color rgb="FF000000"/>
        <rFont val="Arial"/>
        <family val="2"/>
        <scheme val="minor"/>
      </rPr>
      <t>1)16-APR-ES,2)17-JUN-IN,3)21-AUG-CA</t>
    </r>
    <r>
      <rPr>
        <sz val="14"/>
        <color rgb="FF000000"/>
        <rFont val="Arial"/>
        <family val="2"/>
        <scheme val="minor"/>
      </rPr>
      <t xml:space="preserve"> entire row in the dataset</t>
    </r>
    <r>
      <rPr>
        <u val="double"/>
        <sz val="14"/>
        <color rgb="FF000000"/>
        <rFont val="Arial"/>
        <family val="2"/>
        <scheme val="minor"/>
      </rPr>
      <t>.</t>
    </r>
  </si>
  <si>
    <r>
      <t>Find and Replace . Find</t>
    </r>
    <r>
      <rPr>
        <b/>
        <sz val="10"/>
        <color rgb="FF000000"/>
        <rFont val="Arial"/>
        <family val="2"/>
        <scheme val="minor"/>
      </rPr>
      <t xml:space="preserve"> "ELECTRONICSCS</t>
    </r>
    <r>
      <rPr>
        <sz val="10"/>
        <color rgb="FF000000"/>
        <rFont val="Arial"/>
        <family val="2"/>
        <scheme val="minor"/>
      </rPr>
      <t xml:space="preserve"> " to replace with</t>
    </r>
    <r>
      <rPr>
        <b/>
        <sz val="10"/>
        <color rgb="FF000000"/>
        <rFont val="Arial"/>
        <family val="2"/>
        <scheme val="minor"/>
      </rPr>
      <t xml:space="preserve"> "ELECTRONICS "</t>
    </r>
  </si>
  <si>
    <t>Country Code:US</t>
  </si>
  <si>
    <r>
      <t>In the Excel goto data tab - In the Data Tools there is a options is "</t>
    </r>
    <r>
      <rPr>
        <b/>
        <u val="double"/>
        <sz val="14"/>
        <color rgb="FF000000"/>
        <rFont val="Arial"/>
        <family val="2"/>
        <scheme val="minor"/>
      </rPr>
      <t>Remove Duplicate</t>
    </r>
    <r>
      <rPr>
        <u val="double"/>
        <sz val="14"/>
        <color rgb="FF000000"/>
        <rFont val="Arial"/>
        <family val="2"/>
        <scheme val="minor"/>
      </rPr>
      <t>" Option.</t>
    </r>
  </si>
  <si>
    <t xml:space="preserve"> Manufacturing Date: 28-JAN</t>
  </si>
  <si>
    <t>Dell Laptop</t>
  </si>
  <si>
    <t xml:space="preserve">GOTO Home page-right click format cells -select category -Currecncy Format-select unites states </t>
  </si>
  <si>
    <t>$1000</t>
  </si>
  <si>
    <t>Year</t>
  </si>
  <si>
    <t>DD-MM-YYYY</t>
  </si>
  <si>
    <t>28-JAN 2026</t>
  </si>
  <si>
    <t>15-FEB 2026</t>
  </si>
  <si>
    <t>03-MAR 2026</t>
  </si>
  <si>
    <t>11-APR 2026</t>
  </si>
  <si>
    <t>22-MAY 2026</t>
  </si>
  <si>
    <t>07-JUN 2026</t>
  </si>
  <si>
    <t>19-JUL 2026</t>
  </si>
  <si>
    <t>23-AUG 2026</t>
  </si>
  <si>
    <t>05-SEP 2026</t>
  </si>
  <si>
    <t>14-OCT 2026</t>
  </si>
  <si>
    <t>17-JUN 2026</t>
  </si>
  <si>
    <t>25-NOV 2026</t>
  </si>
  <si>
    <t>08-DEC 2026</t>
  </si>
  <si>
    <t>18-FEB 2026</t>
  </si>
  <si>
    <t>16-APR 2026</t>
  </si>
  <si>
    <t>21-AUG 2026</t>
  </si>
  <si>
    <t>20-AUG 2026</t>
  </si>
  <si>
    <t>27-JAN 2026</t>
  </si>
  <si>
    <t>01-MAR 2026</t>
  </si>
  <si>
    <t>14-AUG 2026</t>
  </si>
  <si>
    <t>14-MAY 2026</t>
  </si>
  <si>
    <t>09-JAN 2026</t>
  </si>
  <si>
    <t>29-SEP 2026</t>
  </si>
  <si>
    <t>03-JUN 2026</t>
  </si>
  <si>
    <t>11-JUL 2026</t>
  </si>
  <si>
    <t>07-MAR 2026</t>
  </si>
  <si>
    <t>13-APR 2026</t>
  </si>
  <si>
    <t>24-MAY 2026</t>
  </si>
  <si>
    <t>02-DEC 2026</t>
  </si>
  <si>
    <t>09-JUL 2026</t>
  </si>
  <si>
    <t>UNKNOWN</t>
  </si>
  <si>
    <t>Product Brand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</si>
  <si>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</si>
  <si>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</si>
  <si>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</si>
  <si>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</si>
  <si>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</si>
  <si>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</si>
  <si>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</si>
  <si>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</si>
  <si>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</si>
  <si>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</si>
  <si>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</si>
  <si>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</si>
  <si>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</si>
  <si>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</si>
  <si>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</si>
  <si>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</si>
  <si>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</si>
  <si>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</si>
  <si>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</si>
  <si>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</si>
  <si>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</si>
  <si>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</si>
  <si>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</si>
  <si>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</si>
  <si>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</si>
  <si>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</si>
  <si>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</si>
  <si>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</si>
  <si>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</si>
  <si>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</si>
  <si>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In Home tab we have conditional formatting ,Click arrow ,Select Data 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</si>
</sst>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sz val="12"/>
      <color rgb="FF000000"/>
      <name val="Arial"/>
      <family val="2"/>
      <scheme val="minor"/>
    </font>
    <font>
      <b/>
      <sz val="16"/>
      <color rgb="FFFF0000"/>
      <name val="Arial"/>
      <family val="2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name val="Arial"/>
      <family val="2"/>
      <scheme val="minor"/>
    </font>
    <font>
      <sz val="14"/>
      <color rgb="FFFF0000"/>
      <name val="Aptos"/>
      <family val="2"/>
    </font>
    <font>
      <sz val="14"/>
      <color rgb="FFFF0000"/>
      <name val="Calibri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6"/>
      <color rgb="FF000000"/>
      <name val="Arial"/>
      <family val="2"/>
      <scheme val="minor"/>
    </font>
    <font>
      <u val="double"/>
      <sz val="14"/>
      <color rgb="FF000000"/>
      <name val="Arial"/>
      <family val="2"/>
      <scheme val="minor"/>
    </font>
    <font>
      <b/>
      <u val="double"/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/>
    <xf numFmtId="1" fontId="0" fillId="0" borderId="0" xfId="0" applyNumberFormat="1"/>
    <xf numFmtId="0" fontId="9" fillId="4" borderId="0" xfId="0" applyFont="1" applyFill="1" applyAlignment="1">
      <alignment horizontal="center" vertical="center"/>
    </xf>
    <xf numFmtId="0" fontId="9" fillId="0" borderId="0" xfId="0" applyFont="1"/>
    <xf numFmtId="164" fontId="0" fillId="0" borderId="0" xfId="0" applyNumberFormat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1" fillId="5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indent="1"/>
    </xf>
    <xf numFmtId="49" fontId="4" fillId="4" borderId="6" xfId="0" applyNumberFormat="1" applyFont="1" applyFill="1" applyBorder="1" applyAlignment="1">
      <alignment horizontal="left" indent="1"/>
    </xf>
    <xf numFmtId="49" fontId="4" fillId="4" borderId="8" xfId="0" applyNumberFormat="1" applyFont="1" applyFill="1" applyBorder="1" applyAlignment="1">
      <alignment horizontal="left" indent="1"/>
    </xf>
    <xf numFmtId="49" fontId="4" fillId="0" borderId="0" xfId="0" applyNumberFormat="1" applyFont="1" applyAlignment="1">
      <alignment horizontal="left" indent="1"/>
    </xf>
    <xf numFmtId="14" fontId="0" fillId="0" borderId="0" xfId="0" applyNumberFormat="1"/>
    <xf numFmtId="49" fontId="0" fillId="0" borderId="0" xfId="0" applyNumberFormat="1"/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left" vertical="center" indent="1"/>
    </xf>
    <xf numFmtId="164" fontId="1" fillId="2" borderId="13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top"/>
    </xf>
    <xf numFmtId="49" fontId="2" fillId="0" borderId="5" xfId="0" applyNumberFormat="1" applyFont="1" applyBorder="1" applyAlignment="1">
      <alignment horizontal="left" vertical="top" indent="1"/>
    </xf>
    <xf numFmtId="49" fontId="2" fillId="0" borderId="5" xfId="0" applyNumberFormat="1" applyFont="1" applyBorder="1" applyAlignment="1">
      <alignment horizontal="left" indent="1"/>
    </xf>
    <xf numFmtId="164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top" indent="1"/>
    </xf>
    <xf numFmtId="49" fontId="2" fillId="3" borderId="15" xfId="0" applyNumberFormat="1" applyFont="1" applyFill="1" applyBorder="1"/>
    <xf numFmtId="49" fontId="2" fillId="3" borderId="5" xfId="0" applyNumberFormat="1" applyFont="1" applyFill="1" applyBorder="1" applyAlignment="1">
      <alignment horizontal="left" indent="1"/>
    </xf>
    <xf numFmtId="164" fontId="2" fillId="3" borderId="5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left" vertical="top" indent="1"/>
    </xf>
    <xf numFmtId="49" fontId="2" fillId="0" borderId="15" xfId="0" applyNumberFormat="1" applyFont="1" applyBorder="1"/>
    <xf numFmtId="164" fontId="3" fillId="0" borderId="5" xfId="0" applyNumberFormat="1" applyFont="1" applyBorder="1" applyAlignment="1">
      <alignment horizontal="center"/>
    </xf>
    <xf numFmtId="49" fontId="3" fillId="3" borderId="5" xfId="0" applyNumberFormat="1" applyFont="1" applyFill="1" applyBorder="1" applyAlignment="1">
      <alignment horizontal="left" vertical="top" indent="1"/>
    </xf>
    <xf numFmtId="164" fontId="3" fillId="3" borderId="5" xfId="0" applyNumberFormat="1" applyFont="1" applyFill="1" applyBorder="1" applyAlignment="1">
      <alignment horizontal="center"/>
    </xf>
    <xf numFmtId="49" fontId="3" fillId="0" borderId="15" xfId="0" applyNumberFormat="1" applyFont="1" applyBorder="1"/>
    <xf numFmtId="49" fontId="3" fillId="3" borderId="15" xfId="0" applyNumberFormat="1" applyFont="1" applyFill="1" applyBorder="1"/>
    <xf numFmtId="49" fontId="3" fillId="3" borderId="5" xfId="0" applyNumberFormat="1" applyFont="1" applyFill="1" applyBorder="1" applyAlignment="1">
      <alignment horizontal="left" indent="1"/>
    </xf>
    <xf numFmtId="49" fontId="2" fillId="3" borderId="17" xfId="0" applyNumberFormat="1" applyFont="1" applyFill="1" applyBorder="1"/>
    <xf numFmtId="49" fontId="2" fillId="3" borderId="10" xfId="0" applyNumberFormat="1" applyFont="1" applyFill="1" applyBorder="1" applyAlignment="1">
      <alignment horizontal="left" indent="1"/>
    </xf>
    <xf numFmtId="164" fontId="2" fillId="3" borderId="10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top" indent="1"/>
    </xf>
    <xf numFmtId="164" fontId="4" fillId="0" borderId="0" xfId="0" applyNumberFormat="1" applyFont="1" applyAlignment="1">
      <alignment horizontal="center"/>
    </xf>
    <xf numFmtId="49" fontId="2" fillId="3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indent="1"/>
    </xf>
    <xf numFmtId="49" fontId="14" fillId="2" borderId="13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0" fillId="0" borderId="21" xfId="0" applyBorder="1"/>
    <xf numFmtId="0" fontId="16" fillId="0" borderId="0" xfId="0" applyFont="1" applyAlignment="1">
      <alignment horizontal="center" vertical="center"/>
    </xf>
    <xf numFmtId="14" fontId="14" fillId="2" borderId="14" xfId="0" applyNumberFormat="1" applyFont="1" applyFill="1" applyBorder="1" applyAlignment="1">
      <alignment horizontal="center" vertical="center"/>
    </xf>
    <xf numFmtId="14" fontId="3" fillId="0" borderId="16" xfId="0" applyNumberFormat="1" applyFont="1" applyBorder="1" applyAlignment="1">
      <alignment horizontal="left" vertical="top" indent="1"/>
    </xf>
    <xf numFmtId="14" fontId="2" fillId="3" borderId="16" xfId="0" applyNumberFormat="1" applyFont="1" applyFill="1" applyBorder="1" applyAlignment="1">
      <alignment horizontal="left" vertical="top" indent="1"/>
    </xf>
    <xf numFmtId="14" fontId="2" fillId="0" borderId="16" xfId="0" applyNumberFormat="1" applyFont="1" applyBorder="1" applyAlignment="1">
      <alignment horizontal="left" vertical="top" indent="1"/>
    </xf>
    <xf numFmtId="14" fontId="3" fillId="3" borderId="16" xfId="0" applyNumberFormat="1" applyFont="1" applyFill="1" applyBorder="1" applyAlignment="1">
      <alignment horizontal="left" vertical="top" indent="1"/>
    </xf>
    <xf numFmtId="14" fontId="2" fillId="3" borderId="5" xfId="0" applyNumberFormat="1" applyFont="1" applyFill="1" applyBorder="1" applyAlignment="1">
      <alignment horizontal="left" vertical="top" indent="1"/>
    </xf>
    <xf numFmtId="14" fontId="2" fillId="3" borderId="18" xfId="0" applyNumberFormat="1" applyFont="1" applyFill="1" applyBorder="1" applyAlignment="1">
      <alignment horizontal="left" vertical="top" indent="1"/>
    </xf>
    <xf numFmtId="0" fontId="17" fillId="0" borderId="0" xfId="0" applyFont="1"/>
    <xf numFmtId="0" fontId="1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4" fontId="10" fillId="7" borderId="0" xfId="0" applyNumberFormat="1" applyFont="1" applyFill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2" fillId="6" borderId="0" xfId="0" applyNumberFormat="1" applyFont="1" applyFill="1" applyAlignment="1">
      <alignment horizontal="left" vertical="top"/>
    </xf>
    <xf numFmtId="49" fontId="2" fillId="6" borderId="0" xfId="0" applyNumberFormat="1" applyFont="1" applyFill="1" applyAlignment="1">
      <alignment horizontal="left" vertical="top" indent="1"/>
    </xf>
    <xf numFmtId="49" fontId="2" fillId="6" borderId="0" xfId="0" applyNumberFormat="1" applyFont="1" applyFill="1" applyAlignment="1">
      <alignment horizontal="left" indent="1"/>
    </xf>
    <xf numFmtId="164" fontId="2" fillId="6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49" fontId="3" fillId="0" borderId="16" xfId="0" applyNumberFormat="1" applyFont="1" applyBorder="1" applyAlignment="1">
      <alignment horizontal="left" vertical="top" indent="1"/>
    </xf>
    <xf numFmtId="49" fontId="2" fillId="3" borderId="16" xfId="0" applyNumberFormat="1" applyFont="1" applyFill="1" applyBorder="1" applyAlignment="1">
      <alignment horizontal="left" vertical="top" indent="1"/>
    </xf>
    <xf numFmtId="49" fontId="2" fillId="0" borderId="16" xfId="0" applyNumberFormat="1" applyFont="1" applyBorder="1" applyAlignment="1">
      <alignment horizontal="left" vertical="top" indent="1"/>
    </xf>
    <xf numFmtId="49" fontId="3" fillId="3" borderId="16" xfId="0" applyNumberFormat="1" applyFont="1" applyFill="1" applyBorder="1" applyAlignment="1">
      <alignment horizontal="left" vertical="top" indent="1"/>
    </xf>
    <xf numFmtId="49" fontId="2" fillId="3" borderId="18" xfId="0" applyNumberFormat="1" applyFont="1" applyFill="1" applyBorder="1" applyAlignment="1">
      <alignment horizontal="left" vertical="top" indent="1"/>
    </xf>
    <xf numFmtId="0" fontId="9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top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top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top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top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5257800</xdr:colOff>
      <xdr:row>86</xdr:row>
      <xdr:rowOff>160020</xdr:rowOff>
    </xdr:from>
    <xdr:to>
      <xdr:col>13</xdr:col>
      <xdr:colOff>6339934</xdr:colOff>
      <xdr:row>87</xdr:row>
      <xdr:rowOff>175278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1A826-3847-F402-FEEF-A9E1314CF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1380" y="17198340"/>
          <a:ext cx="1082134" cy="21337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533493</xdr:colOff>
      <xdr:row>92</xdr:row>
      <xdr:rowOff>86695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E50CF9-B827-4EAF-A53B-1AE590CE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7475" y="17802225"/>
          <a:ext cx="533493" cy="686770"/>
        </a:xfrm>
        <a:prstGeom prst="rect">
          <a:avLst/>
        </a:prstGeom>
      </xdr:spPr>
    </xdr:pic>
    <xdr:clientData/>
  </xdr:twoCellAnchor>
  <xdr:twoCellAnchor editAs="oneCell">
    <xdr:from>
      <xdr:col>13</xdr:col>
      <xdr:colOff>1876426</xdr:colOff>
      <xdr:row>78</xdr:row>
      <xdr:rowOff>148466</xdr:rowOff>
    </xdr:from>
    <xdr:to>
      <xdr:col>13</xdr:col>
      <xdr:colOff>2543176</xdr:colOff>
      <xdr:row>83</xdr:row>
      <xdr:rowOff>61498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20E0AB-649D-3F49-B38F-A7A7903E5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63901" y="15750416"/>
          <a:ext cx="666750" cy="9131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15654-E93A-4AE8-B667-DE671697F448}" name="Table1" displayName="Table1" ref="A1:K32" totalsRowShown="0" headerRowDxfId="17" headerRowBorderDxfId="16" tableBorderDxfId="15" totalsRowBorderDxfId="14">
  <tableColumns count="11">
    <tableColumn id="1" xr3:uid="{9BF001BC-749C-4155-A55D-108297EBC4CC}" name="Product ID" dataDxfId="13"/>
    <tableColumn id="2" xr3:uid="{BB86F7E1-7826-4E15-A504-2AC90CA6E33F}" name="Product Name" dataDxfId="12"/>
    <tableColumn id="3" xr3:uid="{83C079BA-0328-4681-B313-75ABE8E078AB}" name="Brand Name" dataDxfId="11"/>
    <tableColumn id="4" xr3:uid="{9862F13F-E18C-4DF5-B6D0-B60CEFEAFF51}" name="Price ($)" dataDxfId="10"/>
    <tableColumn id="5" xr3:uid="{A02D730D-58C6-493C-8FA3-50CEDE9EE2A4}" name="Quantity" dataDxfId="9"/>
    <tableColumn id="6" xr3:uid="{E246B155-2D31-4FA9-BD15-5FB61643AC31}" name="Category" dataDxfId="8"/>
    <tableColumn id="9" xr3:uid="{8DC99103-07EE-482F-AD3E-ABA01392BD1F}" name="Country Code" dataDxfId="7"/>
    <tableColumn id="10" xr3:uid="{3001D94B-A2F2-4094-9793-A0A63703BA6F}" name="Manufacture Date" dataDxfId="6"/>
    <tableColumn id="7" xr3:uid="{9AD1A764-B193-48BB-9DE8-77D3DA168040}" name="Product Brand" dataDxfId="0"/>
    <tableColumn id="16" xr3:uid="{C4E04B15-45C9-4F05-9133-064547E97962}" name="DD-MM-YYYY" dataDxfId="5"/>
    <tableColumn id="11" xr3:uid="{08CDC490-3737-45A2-8C9D-D0DEEFF7BF87}" name="Yea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8"/>
  <sheetViews>
    <sheetView tabSelected="1" zoomScale="80" zoomScaleNormal="80" workbookViewId="0">
      <selection activeCell="G34" sqref="G34"/>
    </sheetView>
  </sheetViews>
  <sheetFormatPr defaultColWidth="12.6640625" defaultRowHeight="15" customHeight="1" x14ac:dyDescent="0.25"/>
  <cols>
    <col min="1" max="1" width="12.21875" style="23" customWidth="1"/>
    <col min="2" max="2" width="17" style="18" customWidth="1"/>
    <col min="3" max="3" width="15.33203125" style="18" customWidth="1"/>
    <col min="4" max="4" width="12.6640625" style="9"/>
    <col min="5" max="5" width="12.6640625" style="6"/>
    <col min="6" max="6" width="15.88671875" style="17" bestFit="1" customWidth="1"/>
    <col min="7" max="7" width="12.77734375" style="6" customWidth="1"/>
    <col min="8" max="8" width="16.44140625" style="22" bestFit="1" customWidth="1"/>
    <col min="9" max="9" width="23.109375" style="23" bestFit="1" customWidth="1"/>
    <col min="10" max="10" width="16.44140625" style="22" customWidth="1"/>
    <col min="11" max="11" width="15" style="91" customWidth="1"/>
    <col min="13" max="13" width="23.6640625" customWidth="1"/>
    <col min="14" max="14" width="178.33203125" bestFit="1" customWidth="1"/>
  </cols>
  <sheetData>
    <row r="1" spans="1:14" ht="15.75" customHeight="1" x14ac:dyDescent="0.25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55" t="s">
        <v>119</v>
      </c>
      <c r="H1" s="66" t="s">
        <v>120</v>
      </c>
      <c r="I1" s="104" t="s">
        <v>206</v>
      </c>
      <c r="J1" s="66" t="s">
        <v>174</v>
      </c>
      <c r="K1" s="85" t="s">
        <v>173</v>
      </c>
    </row>
    <row r="2" spans="1:14" ht="15.75" customHeight="1" x14ac:dyDescent="0.25">
      <c r="A2" s="29" t="s">
        <v>6</v>
      </c>
      <c r="B2" s="30" t="s">
        <v>34</v>
      </c>
      <c r="C2" s="31" t="s">
        <v>7</v>
      </c>
      <c r="D2" s="32">
        <v>1000</v>
      </c>
      <c r="E2" s="33">
        <v>30</v>
      </c>
      <c r="F2" s="34" t="s">
        <v>105</v>
      </c>
      <c r="G2" s="56" t="s">
        <v>121</v>
      </c>
      <c r="H2" s="67" t="s">
        <v>162</v>
      </c>
      <c r="I2" s="105" t="s">
        <v>170</v>
      </c>
      <c r="J2" s="67" t="s">
        <v>175</v>
      </c>
      <c r="K2" s="86">
        <v>2026</v>
      </c>
    </row>
    <row r="3" spans="1:14" ht="15.75" customHeight="1" x14ac:dyDescent="0.25">
      <c r="A3" s="35" t="s">
        <v>8</v>
      </c>
      <c r="B3" s="36" t="s">
        <v>9</v>
      </c>
      <c r="C3" s="36" t="s">
        <v>10</v>
      </c>
      <c r="D3" s="37">
        <v>80</v>
      </c>
      <c r="E3" s="38">
        <v>15</v>
      </c>
      <c r="F3" s="39" t="s">
        <v>106</v>
      </c>
      <c r="G3" s="53" t="s">
        <v>121</v>
      </c>
      <c r="H3" s="68" t="s">
        <v>161</v>
      </c>
      <c r="I3" s="106" t="s">
        <v>207</v>
      </c>
      <c r="J3" s="68" t="s">
        <v>176</v>
      </c>
      <c r="K3" s="87">
        <v>2026</v>
      </c>
      <c r="M3" s="1"/>
      <c r="N3" s="1"/>
    </row>
    <row r="4" spans="1:14" ht="15.75" customHeight="1" x14ac:dyDescent="0.25">
      <c r="A4" s="40" t="s">
        <v>11</v>
      </c>
      <c r="B4" s="31" t="s">
        <v>12</v>
      </c>
      <c r="C4" s="31" t="s">
        <v>13</v>
      </c>
      <c r="D4" s="41" t="s">
        <v>104</v>
      </c>
      <c r="E4" s="33">
        <v>40</v>
      </c>
      <c r="F4" s="30" t="s">
        <v>107</v>
      </c>
      <c r="G4" s="57" t="s">
        <v>121</v>
      </c>
      <c r="H4" s="69" t="s">
        <v>160</v>
      </c>
      <c r="I4" s="107" t="s">
        <v>208</v>
      </c>
      <c r="J4" s="69" t="s">
        <v>177</v>
      </c>
      <c r="K4" s="88">
        <v>2026</v>
      </c>
      <c r="M4" s="1"/>
      <c r="N4" s="4" t="s">
        <v>85</v>
      </c>
    </row>
    <row r="5" spans="1:14" ht="15.75" customHeight="1" x14ac:dyDescent="0.25">
      <c r="A5" s="35" t="s">
        <v>14</v>
      </c>
      <c r="B5" s="36" t="s">
        <v>66</v>
      </c>
      <c r="C5" s="36" t="s">
        <v>15</v>
      </c>
      <c r="D5" s="37">
        <v>900</v>
      </c>
      <c r="E5" s="38">
        <v>25</v>
      </c>
      <c r="F5" s="42" t="s">
        <v>105</v>
      </c>
      <c r="G5" s="53" t="s">
        <v>121</v>
      </c>
      <c r="H5" s="68" t="s">
        <v>159</v>
      </c>
      <c r="I5" s="106" t="s">
        <v>209</v>
      </c>
      <c r="J5" s="68" t="s">
        <v>178</v>
      </c>
      <c r="K5" s="87">
        <v>2026</v>
      </c>
      <c r="M5" s="1"/>
      <c r="N5" s="1"/>
    </row>
    <row r="6" spans="1:14" ht="15.75" customHeight="1" x14ac:dyDescent="0.25">
      <c r="A6" s="40" t="s">
        <v>16</v>
      </c>
      <c r="B6" s="31" t="s">
        <v>17</v>
      </c>
      <c r="C6" s="31" t="s">
        <v>18</v>
      </c>
      <c r="D6" s="32">
        <v>70</v>
      </c>
      <c r="E6" s="33">
        <v>20</v>
      </c>
      <c r="F6" s="34" t="s">
        <v>205</v>
      </c>
      <c r="G6" s="57" t="s">
        <v>121</v>
      </c>
      <c r="H6" s="69" t="s">
        <v>158</v>
      </c>
      <c r="I6" s="107" t="s">
        <v>210</v>
      </c>
      <c r="J6" s="69" t="s">
        <v>179</v>
      </c>
      <c r="K6" s="88">
        <v>2026</v>
      </c>
      <c r="N6" s="14" t="s">
        <v>86</v>
      </c>
    </row>
    <row r="7" spans="1:14" ht="15.75" customHeight="1" thickBot="1" x14ac:dyDescent="0.3">
      <c r="A7" s="35" t="s">
        <v>19</v>
      </c>
      <c r="B7" s="36" t="s">
        <v>20</v>
      </c>
      <c r="C7" s="36" t="s">
        <v>21</v>
      </c>
      <c r="D7" s="37">
        <v>130</v>
      </c>
      <c r="E7" s="38">
        <v>45</v>
      </c>
      <c r="F7" s="42" t="s">
        <v>105</v>
      </c>
      <c r="G7" s="58" t="s">
        <v>122</v>
      </c>
      <c r="H7" s="70" t="s">
        <v>157</v>
      </c>
      <c r="I7" s="108" t="s">
        <v>211</v>
      </c>
      <c r="J7" s="70" t="s">
        <v>180</v>
      </c>
      <c r="K7" s="89">
        <v>2026</v>
      </c>
    </row>
    <row r="8" spans="1:14" ht="15.75" customHeight="1" x14ac:dyDescent="0.25">
      <c r="A8" s="40" t="s">
        <v>22</v>
      </c>
      <c r="B8" s="31" t="s">
        <v>115</v>
      </c>
      <c r="C8" s="54" t="s">
        <v>23</v>
      </c>
      <c r="D8" s="32">
        <v>30</v>
      </c>
      <c r="E8" s="33">
        <v>5</v>
      </c>
      <c r="F8" s="30" t="s">
        <v>106</v>
      </c>
      <c r="G8" s="57" t="s">
        <v>122</v>
      </c>
      <c r="H8" s="69" t="s">
        <v>141</v>
      </c>
      <c r="I8" s="107" t="s">
        <v>212</v>
      </c>
      <c r="J8" s="69" t="s">
        <v>181</v>
      </c>
      <c r="K8" s="88">
        <v>2026</v>
      </c>
      <c r="M8" s="96" t="s">
        <v>118</v>
      </c>
      <c r="N8" s="61">
        <f>IF(ISBLANK(D2),AVERAGE($D$2:$D$35),D2)</f>
        <v>1000</v>
      </c>
    </row>
    <row r="9" spans="1:14" ht="15.75" customHeight="1" x14ac:dyDescent="0.25">
      <c r="A9" s="35" t="s">
        <v>24</v>
      </c>
      <c r="B9" s="36" t="s">
        <v>25</v>
      </c>
      <c r="C9" s="36" t="s">
        <v>26</v>
      </c>
      <c r="D9" s="37">
        <v>90</v>
      </c>
      <c r="E9" s="38">
        <v>35</v>
      </c>
      <c r="F9" s="39" t="s">
        <v>107</v>
      </c>
      <c r="G9" s="53" t="s">
        <v>122</v>
      </c>
      <c r="H9" s="68" t="s">
        <v>156</v>
      </c>
      <c r="I9" s="106" t="s">
        <v>213</v>
      </c>
      <c r="J9" s="68" t="s">
        <v>182</v>
      </c>
      <c r="K9" s="87">
        <v>2026</v>
      </c>
      <c r="M9" s="96"/>
      <c r="N9" s="62" t="str">
        <f>IF(ISBLANK(D2),"Missing value","Price Available")</f>
        <v>Price Available</v>
      </c>
    </row>
    <row r="10" spans="1:14" ht="15.75" customHeight="1" thickBot="1" x14ac:dyDescent="0.3">
      <c r="A10" s="40" t="s">
        <v>27</v>
      </c>
      <c r="B10" s="31" t="s">
        <v>28</v>
      </c>
      <c r="C10" s="31" t="s">
        <v>29</v>
      </c>
      <c r="D10" s="32">
        <v>500</v>
      </c>
      <c r="E10" s="33">
        <v>50</v>
      </c>
      <c r="F10" s="30" t="s">
        <v>105</v>
      </c>
      <c r="G10" s="57" t="s">
        <v>122</v>
      </c>
      <c r="H10" s="69" t="s">
        <v>155</v>
      </c>
      <c r="I10" s="107" t="s">
        <v>214</v>
      </c>
      <c r="J10" s="69" t="s">
        <v>183</v>
      </c>
      <c r="K10" s="88">
        <v>2026</v>
      </c>
      <c r="M10" s="97"/>
      <c r="N10" s="63">
        <f>MODE(D2:D32)</f>
        <v>130</v>
      </c>
    </row>
    <row r="11" spans="1:14" ht="15.75" customHeight="1" x14ac:dyDescent="0.25">
      <c r="A11" s="35" t="s">
        <v>30</v>
      </c>
      <c r="B11" s="36" t="s">
        <v>31</v>
      </c>
      <c r="C11" s="36" t="s">
        <v>32</v>
      </c>
      <c r="D11" s="43" t="s">
        <v>104</v>
      </c>
      <c r="E11" s="38">
        <v>10</v>
      </c>
      <c r="F11" s="39" t="s">
        <v>108</v>
      </c>
      <c r="G11" s="53" t="s">
        <v>122</v>
      </c>
      <c r="H11" s="68" t="s">
        <v>154</v>
      </c>
      <c r="I11" s="106" t="s">
        <v>215</v>
      </c>
      <c r="J11" s="68" t="s">
        <v>184</v>
      </c>
      <c r="K11" s="87">
        <v>2026</v>
      </c>
      <c r="M11" s="79" t="s">
        <v>88</v>
      </c>
      <c r="N11" s="80" t="s">
        <v>110</v>
      </c>
    </row>
    <row r="12" spans="1:14" ht="15.75" customHeight="1" x14ac:dyDescent="0.25">
      <c r="A12" s="44" t="s">
        <v>33</v>
      </c>
      <c r="B12" s="31" t="s">
        <v>34</v>
      </c>
      <c r="C12" s="31" t="s">
        <v>116</v>
      </c>
      <c r="D12" s="32">
        <v>950</v>
      </c>
      <c r="E12" s="33">
        <v>25</v>
      </c>
      <c r="F12" s="30" t="s">
        <v>105</v>
      </c>
      <c r="G12" s="57" t="s">
        <v>123</v>
      </c>
      <c r="H12" s="69" t="s">
        <v>153</v>
      </c>
      <c r="I12" s="107" t="s">
        <v>216</v>
      </c>
      <c r="J12" s="69" t="s">
        <v>185</v>
      </c>
      <c r="K12" s="88">
        <v>2026</v>
      </c>
      <c r="N12" s="14" t="s">
        <v>111</v>
      </c>
    </row>
    <row r="13" spans="1:14" ht="15.75" customHeight="1" thickBot="1" x14ac:dyDescent="0.3">
      <c r="A13" s="35" t="s">
        <v>35</v>
      </c>
      <c r="B13" s="36" t="s">
        <v>9</v>
      </c>
      <c r="C13" s="36" t="s">
        <v>23</v>
      </c>
      <c r="D13" s="37">
        <v>90</v>
      </c>
      <c r="E13" s="38">
        <v>40</v>
      </c>
      <c r="F13" s="36" t="s">
        <v>205</v>
      </c>
      <c r="G13" s="53" t="s">
        <v>124</v>
      </c>
      <c r="H13" s="68" t="s">
        <v>152</v>
      </c>
      <c r="I13" s="106" t="s">
        <v>217</v>
      </c>
      <c r="J13" s="68" t="s">
        <v>186</v>
      </c>
      <c r="K13" s="87">
        <v>2026</v>
      </c>
    </row>
    <row r="14" spans="1:14" ht="15.75" customHeight="1" x14ac:dyDescent="0.25">
      <c r="A14" s="40" t="s">
        <v>36</v>
      </c>
      <c r="B14" s="31" t="s">
        <v>12</v>
      </c>
      <c r="C14" s="31" t="s">
        <v>37</v>
      </c>
      <c r="D14" s="32">
        <v>120</v>
      </c>
      <c r="E14" s="33">
        <v>35</v>
      </c>
      <c r="F14" s="34" t="s">
        <v>205</v>
      </c>
      <c r="G14" s="57" t="s">
        <v>125</v>
      </c>
      <c r="H14" s="69" t="s">
        <v>151</v>
      </c>
      <c r="I14" s="107" t="s">
        <v>218</v>
      </c>
      <c r="J14" s="69" t="s">
        <v>187</v>
      </c>
      <c r="K14" s="88">
        <v>2026</v>
      </c>
      <c r="M14" s="96" t="s">
        <v>118</v>
      </c>
      <c r="N14" s="102" t="str">
        <f>IF(ISBLANK(F13),"UNKNOWN",F13)</f>
        <v>UNKNOWN</v>
      </c>
    </row>
    <row r="15" spans="1:14" ht="15.75" customHeight="1" x14ac:dyDescent="0.25">
      <c r="A15" s="35" t="s">
        <v>38</v>
      </c>
      <c r="B15" s="36" t="s">
        <v>39</v>
      </c>
      <c r="C15" s="36" t="s">
        <v>40</v>
      </c>
      <c r="D15" s="37">
        <v>150</v>
      </c>
      <c r="E15" s="38">
        <v>15</v>
      </c>
      <c r="F15" s="39" t="s">
        <v>105</v>
      </c>
      <c r="G15" s="53" t="s">
        <v>126</v>
      </c>
      <c r="H15" s="68" t="s">
        <v>150</v>
      </c>
      <c r="I15" s="106" t="s">
        <v>219</v>
      </c>
      <c r="J15" s="68" t="s">
        <v>188</v>
      </c>
      <c r="K15" s="87">
        <v>2026</v>
      </c>
      <c r="M15" s="96"/>
      <c r="N15" s="103"/>
    </row>
    <row r="16" spans="1:14" ht="15.75" customHeight="1" thickBot="1" x14ac:dyDescent="0.3">
      <c r="A16" s="44" t="s">
        <v>41</v>
      </c>
      <c r="B16" s="31" t="s">
        <v>20</v>
      </c>
      <c r="C16" s="31" t="s">
        <v>42</v>
      </c>
      <c r="D16" s="32">
        <v>250</v>
      </c>
      <c r="E16" s="33">
        <v>20</v>
      </c>
      <c r="F16" s="30" t="s">
        <v>105</v>
      </c>
      <c r="G16" s="57" t="s">
        <v>127</v>
      </c>
      <c r="H16" s="69" t="s">
        <v>149</v>
      </c>
      <c r="I16" s="107" t="s">
        <v>220</v>
      </c>
      <c r="J16" s="69" t="s">
        <v>189</v>
      </c>
      <c r="K16" s="88">
        <v>2026</v>
      </c>
      <c r="M16" s="96"/>
      <c r="N16" s="64"/>
    </row>
    <row r="17" spans="1:14" ht="15.75" customHeight="1" x14ac:dyDescent="0.25">
      <c r="A17" s="45" t="s">
        <v>43</v>
      </c>
      <c r="B17" s="46" t="s">
        <v>44</v>
      </c>
      <c r="C17" s="36" t="s">
        <v>45</v>
      </c>
      <c r="D17" s="37">
        <v>50</v>
      </c>
      <c r="E17" s="38">
        <v>35</v>
      </c>
      <c r="F17" s="39" t="s">
        <v>109</v>
      </c>
      <c r="G17" s="53" t="s">
        <v>126</v>
      </c>
      <c r="H17" s="68" t="s">
        <v>148</v>
      </c>
      <c r="I17" s="106" t="s">
        <v>221</v>
      </c>
      <c r="J17" s="68" t="s">
        <v>190</v>
      </c>
      <c r="K17" s="87">
        <v>2026</v>
      </c>
      <c r="M17" s="77" t="s">
        <v>93</v>
      </c>
      <c r="N17" s="80" t="s">
        <v>205</v>
      </c>
    </row>
    <row r="18" spans="1:14" ht="15.75" customHeight="1" x14ac:dyDescent="0.3">
      <c r="A18" s="40" t="s">
        <v>46</v>
      </c>
      <c r="B18" s="31" t="s">
        <v>39</v>
      </c>
      <c r="C18" s="31" t="s">
        <v>47</v>
      </c>
      <c r="D18" s="32">
        <v>160</v>
      </c>
      <c r="E18" s="33">
        <v>15</v>
      </c>
      <c r="F18" s="30" t="s">
        <v>105</v>
      </c>
      <c r="G18" s="57" t="s">
        <v>128</v>
      </c>
      <c r="H18" s="69" t="s">
        <v>147</v>
      </c>
      <c r="I18" s="107" t="s">
        <v>222</v>
      </c>
      <c r="J18" s="69" t="s">
        <v>191</v>
      </c>
      <c r="K18" s="88">
        <v>2026</v>
      </c>
      <c r="M18" s="8"/>
    </row>
    <row r="19" spans="1:14" ht="15.75" customHeight="1" x14ac:dyDescent="0.3">
      <c r="A19" s="35" t="s">
        <v>48</v>
      </c>
      <c r="B19" s="36" t="s">
        <v>34</v>
      </c>
      <c r="C19" s="36" t="s">
        <v>49</v>
      </c>
      <c r="D19" s="37">
        <v>980</v>
      </c>
      <c r="E19" s="38">
        <v>10</v>
      </c>
      <c r="F19" s="39" t="s">
        <v>105</v>
      </c>
      <c r="G19" s="53" t="s">
        <v>129</v>
      </c>
      <c r="H19" s="68" t="s">
        <v>146</v>
      </c>
      <c r="I19" s="106" t="s">
        <v>223</v>
      </c>
      <c r="J19" s="68" t="s">
        <v>192</v>
      </c>
      <c r="K19" s="87">
        <v>2026</v>
      </c>
      <c r="M19" s="8"/>
      <c r="N19" s="4" t="s">
        <v>89</v>
      </c>
    </row>
    <row r="20" spans="1:14" ht="15.75" customHeight="1" x14ac:dyDescent="0.3">
      <c r="A20" s="40" t="s">
        <v>50</v>
      </c>
      <c r="B20" s="31" t="s">
        <v>51</v>
      </c>
      <c r="C20" s="31" t="s">
        <v>52</v>
      </c>
      <c r="D20" s="32">
        <v>150</v>
      </c>
      <c r="E20" s="33">
        <v>15</v>
      </c>
      <c r="F20" s="30" t="s">
        <v>106</v>
      </c>
      <c r="G20" s="57" t="s">
        <v>122</v>
      </c>
      <c r="H20" s="69" t="s">
        <v>145</v>
      </c>
      <c r="I20" s="107" t="s">
        <v>224</v>
      </c>
      <c r="J20" s="69" t="s">
        <v>193</v>
      </c>
      <c r="K20" s="88">
        <v>2026</v>
      </c>
      <c r="M20" s="8"/>
    </row>
    <row r="21" spans="1:14" ht="15.75" customHeight="1" x14ac:dyDescent="0.3">
      <c r="A21" s="35" t="s">
        <v>53</v>
      </c>
      <c r="B21" s="36" t="s">
        <v>54</v>
      </c>
      <c r="C21" s="36" t="s">
        <v>55</v>
      </c>
      <c r="D21" s="37">
        <v>130</v>
      </c>
      <c r="E21" s="38">
        <v>10</v>
      </c>
      <c r="F21" s="39" t="s">
        <v>108</v>
      </c>
      <c r="G21" s="53" t="s">
        <v>121</v>
      </c>
      <c r="H21" s="68" t="s">
        <v>144</v>
      </c>
      <c r="I21" s="106" t="s">
        <v>225</v>
      </c>
      <c r="J21" s="68" t="s">
        <v>194</v>
      </c>
      <c r="K21" s="87">
        <v>2026</v>
      </c>
      <c r="M21" s="8"/>
      <c r="N21" s="14" t="s">
        <v>90</v>
      </c>
    </row>
    <row r="22" spans="1:14" ht="15.75" customHeight="1" x14ac:dyDescent="0.25">
      <c r="A22" s="40" t="s">
        <v>56</v>
      </c>
      <c r="B22" s="31" t="s">
        <v>57</v>
      </c>
      <c r="C22" s="31" t="s">
        <v>58</v>
      </c>
      <c r="D22" s="32">
        <v>700</v>
      </c>
      <c r="E22" s="33">
        <v>50</v>
      </c>
      <c r="F22" s="30" t="s">
        <v>105</v>
      </c>
      <c r="G22" s="57" t="s">
        <v>130</v>
      </c>
      <c r="H22" s="69" t="s">
        <v>143</v>
      </c>
      <c r="I22" s="107" t="s">
        <v>226</v>
      </c>
      <c r="J22" s="69" t="s">
        <v>195</v>
      </c>
      <c r="K22" s="88">
        <v>2026</v>
      </c>
      <c r="M22" s="7" t="s">
        <v>87</v>
      </c>
      <c r="N22" s="65" t="str">
        <f>PROPER(TRIM(CLEAN(B2)))</f>
        <v>Laptop</v>
      </c>
    </row>
    <row r="23" spans="1:14" ht="15.75" customHeight="1" x14ac:dyDescent="0.3">
      <c r="A23" s="35" t="s">
        <v>59</v>
      </c>
      <c r="B23" s="36" t="s">
        <v>60</v>
      </c>
      <c r="C23" s="36" t="s">
        <v>61</v>
      </c>
      <c r="D23" s="37">
        <v>80</v>
      </c>
      <c r="E23" s="38">
        <v>20</v>
      </c>
      <c r="F23" s="39" t="s">
        <v>107</v>
      </c>
      <c r="G23" s="53" t="s">
        <v>126</v>
      </c>
      <c r="H23" s="68" t="s">
        <v>142</v>
      </c>
      <c r="I23" s="106" t="s">
        <v>227</v>
      </c>
      <c r="J23" s="68" t="s">
        <v>196</v>
      </c>
      <c r="K23" s="87">
        <v>2026</v>
      </c>
      <c r="M23" s="8"/>
    </row>
    <row r="24" spans="1:14" ht="15.75" customHeight="1" x14ac:dyDescent="0.25">
      <c r="A24" s="40" t="s">
        <v>62</v>
      </c>
      <c r="B24" s="31" t="s">
        <v>63</v>
      </c>
      <c r="C24" s="31" t="s">
        <v>64</v>
      </c>
      <c r="D24" s="32">
        <v>150</v>
      </c>
      <c r="E24" s="33">
        <v>30</v>
      </c>
      <c r="F24" s="34" t="s">
        <v>205</v>
      </c>
      <c r="G24" s="57" t="s">
        <v>131</v>
      </c>
      <c r="H24" s="69" t="s">
        <v>141</v>
      </c>
      <c r="I24" s="107" t="s">
        <v>228</v>
      </c>
      <c r="J24" s="69" t="s">
        <v>181</v>
      </c>
      <c r="K24" s="88">
        <v>2026</v>
      </c>
      <c r="M24" s="77" t="s">
        <v>93</v>
      </c>
      <c r="N24" s="80" t="s">
        <v>34</v>
      </c>
    </row>
    <row r="25" spans="1:14" ht="15.75" customHeight="1" x14ac:dyDescent="0.3">
      <c r="A25" s="35" t="s">
        <v>65</v>
      </c>
      <c r="B25" s="36" t="s">
        <v>66</v>
      </c>
      <c r="C25" s="36" t="s">
        <v>67</v>
      </c>
      <c r="D25" s="37">
        <v>800</v>
      </c>
      <c r="E25" s="38">
        <v>45</v>
      </c>
      <c r="F25" s="39" t="s">
        <v>105</v>
      </c>
      <c r="G25" s="53" t="s">
        <v>126</v>
      </c>
      <c r="H25" s="71" t="s">
        <v>140</v>
      </c>
      <c r="I25" s="39" t="s">
        <v>229</v>
      </c>
      <c r="J25" s="71" t="s">
        <v>197</v>
      </c>
      <c r="K25" s="38">
        <v>2026</v>
      </c>
      <c r="M25" s="8"/>
    </row>
    <row r="26" spans="1:14" ht="15.75" customHeight="1" x14ac:dyDescent="0.3">
      <c r="A26" s="40" t="s">
        <v>68</v>
      </c>
      <c r="B26" s="31" t="s">
        <v>51</v>
      </c>
      <c r="C26" s="31" t="s">
        <v>69</v>
      </c>
      <c r="D26" s="32">
        <v>130</v>
      </c>
      <c r="E26" s="33">
        <v>25</v>
      </c>
      <c r="F26" s="30" t="s">
        <v>106</v>
      </c>
      <c r="G26" s="59" t="s">
        <v>126</v>
      </c>
      <c r="H26" s="69" t="s">
        <v>139</v>
      </c>
      <c r="I26" s="107" t="s">
        <v>230</v>
      </c>
      <c r="J26" s="69" t="s">
        <v>198</v>
      </c>
      <c r="K26" s="88">
        <v>2026</v>
      </c>
      <c r="M26" s="8"/>
      <c r="N26" s="14" t="s">
        <v>112</v>
      </c>
    </row>
    <row r="27" spans="1:14" ht="15.75" customHeight="1" x14ac:dyDescent="0.3">
      <c r="A27" s="35" t="s">
        <v>70</v>
      </c>
      <c r="B27" s="36" t="s">
        <v>25</v>
      </c>
      <c r="C27" s="36" t="s">
        <v>71</v>
      </c>
      <c r="D27" s="37">
        <v>400</v>
      </c>
      <c r="E27" s="38">
        <v>40</v>
      </c>
      <c r="F27" s="39" t="s">
        <v>107</v>
      </c>
      <c r="G27" s="53" t="s">
        <v>126</v>
      </c>
      <c r="H27" s="68" t="s">
        <v>138</v>
      </c>
      <c r="I27" s="106" t="s">
        <v>231</v>
      </c>
      <c r="J27" s="68" t="s">
        <v>199</v>
      </c>
      <c r="K27" s="87">
        <v>2026</v>
      </c>
      <c r="M27" s="8"/>
    </row>
    <row r="28" spans="1:14" ht="15.75" customHeight="1" x14ac:dyDescent="0.25">
      <c r="A28" s="40" t="s">
        <v>72</v>
      </c>
      <c r="B28" s="31" t="s">
        <v>73</v>
      </c>
      <c r="C28" s="31" t="s">
        <v>74</v>
      </c>
      <c r="D28" s="32">
        <v>60</v>
      </c>
      <c r="E28" s="33">
        <v>30</v>
      </c>
      <c r="F28" s="30" t="s">
        <v>106</v>
      </c>
      <c r="G28" s="57" t="s">
        <v>126</v>
      </c>
      <c r="H28" s="69" t="s">
        <v>137</v>
      </c>
      <c r="I28" s="107" t="s">
        <v>232</v>
      </c>
      <c r="J28" s="69" t="s">
        <v>200</v>
      </c>
      <c r="K28" s="88">
        <v>2026</v>
      </c>
      <c r="M28" s="7" t="s">
        <v>87</v>
      </c>
      <c r="N28" s="3" t="s">
        <v>166</v>
      </c>
    </row>
    <row r="29" spans="1:14" ht="15.75" customHeight="1" x14ac:dyDescent="0.3">
      <c r="A29" s="35" t="s">
        <v>75</v>
      </c>
      <c r="B29" s="36" t="s">
        <v>76</v>
      </c>
      <c r="C29" s="36" t="s">
        <v>77</v>
      </c>
      <c r="D29" s="37">
        <v>40</v>
      </c>
      <c r="E29" s="38">
        <v>10</v>
      </c>
      <c r="F29" s="39" t="s">
        <v>107</v>
      </c>
      <c r="G29" s="53" t="s">
        <v>126</v>
      </c>
      <c r="H29" s="68" t="s">
        <v>136</v>
      </c>
      <c r="I29" s="106" t="s">
        <v>233</v>
      </c>
      <c r="J29" s="68" t="s">
        <v>201</v>
      </c>
      <c r="K29" s="87">
        <v>2026</v>
      </c>
      <c r="M29" s="8"/>
    </row>
    <row r="30" spans="1:14" ht="15.75" customHeight="1" x14ac:dyDescent="0.25">
      <c r="A30" s="40" t="s">
        <v>78</v>
      </c>
      <c r="B30" s="31" t="s">
        <v>63</v>
      </c>
      <c r="C30" s="31" t="s">
        <v>79</v>
      </c>
      <c r="D30" s="41" t="s">
        <v>104</v>
      </c>
      <c r="E30" s="33">
        <v>5</v>
      </c>
      <c r="F30" s="30" t="s">
        <v>105</v>
      </c>
      <c r="G30" s="57" t="s">
        <v>126</v>
      </c>
      <c r="H30" s="69" t="s">
        <v>135</v>
      </c>
      <c r="I30" s="107" t="s">
        <v>234</v>
      </c>
      <c r="J30" s="69" t="s">
        <v>202</v>
      </c>
      <c r="K30" s="88">
        <v>2026</v>
      </c>
      <c r="M30" s="77" t="s">
        <v>93</v>
      </c>
      <c r="N30" s="81" t="s">
        <v>164</v>
      </c>
    </row>
    <row r="31" spans="1:14" ht="15.75" customHeight="1" x14ac:dyDescent="0.3">
      <c r="A31" s="35" t="s">
        <v>80</v>
      </c>
      <c r="B31" s="36" t="s">
        <v>81</v>
      </c>
      <c r="C31" s="36" t="s">
        <v>117</v>
      </c>
      <c r="D31" s="37">
        <v>50</v>
      </c>
      <c r="E31" s="38">
        <v>50</v>
      </c>
      <c r="F31" s="39" t="s">
        <v>106</v>
      </c>
      <c r="G31" s="53" t="s">
        <v>126</v>
      </c>
      <c r="H31" s="68" t="s">
        <v>134</v>
      </c>
      <c r="I31" s="106" t="s">
        <v>235</v>
      </c>
      <c r="J31" s="68" t="s">
        <v>203</v>
      </c>
      <c r="K31" s="87">
        <v>2026</v>
      </c>
      <c r="M31" s="8"/>
    </row>
    <row r="32" spans="1:14" ht="15.75" customHeight="1" x14ac:dyDescent="0.3">
      <c r="A32" s="47" t="s">
        <v>82</v>
      </c>
      <c r="B32" s="48" t="s">
        <v>83</v>
      </c>
      <c r="C32" s="48" t="s">
        <v>84</v>
      </c>
      <c r="D32" s="49">
        <v>100</v>
      </c>
      <c r="E32" s="50">
        <v>20</v>
      </c>
      <c r="F32" s="51" t="s">
        <v>109</v>
      </c>
      <c r="G32" s="60" t="s">
        <v>132</v>
      </c>
      <c r="H32" s="72" t="s">
        <v>133</v>
      </c>
      <c r="I32" s="109" t="s">
        <v>236</v>
      </c>
      <c r="J32" s="72" t="s">
        <v>204</v>
      </c>
      <c r="K32" s="90">
        <v>2026</v>
      </c>
      <c r="M32" s="8"/>
      <c r="N32" s="14" t="s">
        <v>113</v>
      </c>
    </row>
    <row r="33" spans="2:14" ht="15.75" customHeight="1" x14ac:dyDescent="0.25"/>
    <row r="34" spans="2:14" ht="15.75" customHeight="1" x14ac:dyDescent="0.25">
      <c r="M34" s="7" t="s">
        <v>87</v>
      </c>
      <c r="N34" s="3" t="s">
        <v>163</v>
      </c>
    </row>
    <row r="35" spans="2:14" ht="15.75" customHeight="1" x14ac:dyDescent="0.3">
      <c r="M35" s="8"/>
    </row>
    <row r="36" spans="2:14" ht="15.75" customHeight="1" x14ac:dyDescent="0.25">
      <c r="F36" s="22"/>
      <c r="M36" s="77" t="s">
        <v>93</v>
      </c>
      <c r="N36" s="81" t="s">
        <v>164</v>
      </c>
    </row>
    <row r="37" spans="2:14" ht="15.75" customHeight="1" x14ac:dyDescent="0.3">
      <c r="F37" s="22"/>
      <c r="M37" s="8"/>
    </row>
    <row r="38" spans="2:14" ht="15.75" customHeight="1" x14ac:dyDescent="0.3">
      <c r="F38" s="22"/>
      <c r="M38" s="8"/>
      <c r="N38" s="4" t="s">
        <v>92</v>
      </c>
    </row>
    <row r="39" spans="2:14" ht="15.75" customHeight="1" x14ac:dyDescent="0.3">
      <c r="F39" s="22"/>
      <c r="M39" s="8"/>
    </row>
    <row r="40" spans="2:14" ht="15.75" customHeight="1" x14ac:dyDescent="0.35">
      <c r="F40" s="22"/>
      <c r="M40" s="8"/>
      <c r="N40" s="15" t="s">
        <v>91</v>
      </c>
    </row>
    <row r="41" spans="2:14" ht="15.75" customHeight="1" thickBot="1" x14ac:dyDescent="0.35">
      <c r="F41" s="22"/>
      <c r="M41" s="8"/>
    </row>
    <row r="42" spans="2:14" ht="15.75" customHeight="1" x14ac:dyDescent="0.3">
      <c r="B42" s="19" t="s">
        <v>103</v>
      </c>
      <c r="C42" s="10">
        <f>MEDIAN(D2:D32)</f>
        <v>130</v>
      </c>
      <c r="F42" s="22"/>
      <c r="M42" s="7" t="s">
        <v>87</v>
      </c>
      <c r="N42" s="73" t="s">
        <v>168</v>
      </c>
    </row>
    <row r="43" spans="2:14" ht="15.75" customHeight="1" thickBot="1" x14ac:dyDescent="0.35">
      <c r="B43" s="20" t="s">
        <v>102</v>
      </c>
      <c r="C43" s="11">
        <f>MODE(D2:D32)</f>
        <v>130</v>
      </c>
      <c r="F43" s="22"/>
      <c r="M43" s="8"/>
    </row>
    <row r="44" spans="2:14" ht="15.75" customHeight="1" x14ac:dyDescent="0.25">
      <c r="F44" s="22"/>
      <c r="M44" s="77" t="s">
        <v>93</v>
      </c>
      <c r="N44" s="78" t="s">
        <v>165</v>
      </c>
    </row>
    <row r="45" spans="2:14" ht="15.75" customHeight="1" x14ac:dyDescent="0.3">
      <c r="F45" s="22"/>
      <c r="M45" s="8"/>
    </row>
    <row r="46" spans="2:14" ht="15.75" customHeight="1" x14ac:dyDescent="0.3">
      <c r="C46" s="21"/>
      <c r="F46" s="22"/>
      <c r="M46" s="8"/>
      <c r="N46" s="4" t="s">
        <v>94</v>
      </c>
    </row>
    <row r="47" spans="2:14" ht="15.75" customHeight="1" x14ac:dyDescent="0.3">
      <c r="C47" s="21"/>
      <c r="D47" s="52"/>
      <c r="F47" s="22"/>
      <c r="M47" s="8"/>
    </row>
    <row r="48" spans="2:14" ht="15.75" customHeight="1" x14ac:dyDescent="0.3">
      <c r="F48" s="22"/>
      <c r="M48" s="8"/>
      <c r="N48" s="14" t="s">
        <v>95</v>
      </c>
    </row>
    <row r="49" spans="6:14" ht="15.75" customHeight="1" thickBot="1" x14ac:dyDescent="0.35">
      <c r="F49" s="22"/>
      <c r="M49" s="8"/>
    </row>
    <row r="50" spans="6:14" ht="15.75" customHeight="1" x14ac:dyDescent="0.25">
      <c r="F50" s="22"/>
      <c r="M50" s="98" t="s">
        <v>87</v>
      </c>
      <c r="N50" s="75" t="str">
        <f>RIGHT(A2,2)</f>
        <v>US</v>
      </c>
    </row>
    <row r="51" spans="6:14" ht="15.75" customHeight="1" thickBot="1" x14ac:dyDescent="0.3">
      <c r="F51" s="22"/>
      <c r="M51" s="99"/>
      <c r="N51" s="76" t="str">
        <f>LEFT(A2,6)</f>
        <v>28-JAN</v>
      </c>
    </row>
    <row r="52" spans="6:14" ht="15.75" customHeight="1" x14ac:dyDescent="0.25">
      <c r="F52" s="22"/>
      <c r="M52" s="100" t="s">
        <v>88</v>
      </c>
      <c r="N52" s="82" t="s">
        <v>167</v>
      </c>
    </row>
    <row r="53" spans="6:14" ht="15.75" customHeight="1" thickBot="1" x14ac:dyDescent="0.3">
      <c r="F53" s="22"/>
      <c r="M53" s="101"/>
      <c r="N53" s="83" t="s">
        <v>169</v>
      </c>
    </row>
    <row r="54" spans="6:14" ht="15.75" customHeight="1" x14ac:dyDescent="0.25">
      <c r="F54" s="22"/>
      <c r="M54" s="74"/>
      <c r="N54" s="13"/>
    </row>
    <row r="55" spans="6:14" ht="15.75" customHeight="1" x14ac:dyDescent="0.3">
      <c r="F55" s="22"/>
      <c r="M55" s="8"/>
      <c r="N55" s="14" t="s">
        <v>114</v>
      </c>
    </row>
    <row r="56" spans="6:14" ht="15.75" customHeight="1" thickBot="1" x14ac:dyDescent="0.35">
      <c r="F56" s="22"/>
      <c r="M56" s="8"/>
    </row>
    <row r="57" spans="6:14" ht="15.75" customHeight="1" x14ac:dyDescent="0.25">
      <c r="F57" s="22"/>
      <c r="M57" s="7" t="s">
        <v>87</v>
      </c>
      <c r="N57" s="75" t="str">
        <f>CONCATENATE(C2," ",B2)</f>
        <v>Dell Laptop</v>
      </c>
    </row>
    <row r="58" spans="6:14" ht="15.75" customHeight="1" x14ac:dyDescent="0.3">
      <c r="F58" s="22"/>
      <c r="M58" s="8"/>
    </row>
    <row r="59" spans="6:14" ht="15.75" customHeight="1" thickBot="1" x14ac:dyDescent="0.3">
      <c r="F59" s="22"/>
      <c r="M59" s="77" t="s">
        <v>93</v>
      </c>
      <c r="N59" s="83" t="s">
        <v>170</v>
      </c>
    </row>
    <row r="60" spans="6:14" ht="15.75" customHeight="1" x14ac:dyDescent="0.25">
      <c r="F60" s="22"/>
      <c r="M60" s="74"/>
      <c r="N60" s="13"/>
    </row>
    <row r="61" spans="6:14" ht="15.75" customHeight="1" x14ac:dyDescent="0.3">
      <c r="F61" s="22"/>
      <c r="M61" s="8"/>
      <c r="N61" s="4" t="s">
        <v>96</v>
      </c>
    </row>
    <row r="62" spans="6:14" ht="15.75" customHeight="1" x14ac:dyDescent="0.3">
      <c r="F62" s="22"/>
      <c r="M62" s="8"/>
    </row>
    <row r="63" spans="6:14" ht="15.75" customHeight="1" x14ac:dyDescent="0.3">
      <c r="F63" s="22"/>
      <c r="M63" s="8"/>
      <c r="N63" s="14" t="s">
        <v>97</v>
      </c>
    </row>
    <row r="64" spans="6:14" ht="15.75" customHeight="1" x14ac:dyDescent="0.3">
      <c r="F64" s="22"/>
      <c r="M64" s="8"/>
    </row>
    <row r="65" spans="6:14" ht="15.75" customHeight="1" x14ac:dyDescent="0.25">
      <c r="F65" s="22"/>
      <c r="M65" s="7" t="s">
        <v>87</v>
      </c>
      <c r="N65" s="5" t="s">
        <v>171</v>
      </c>
    </row>
    <row r="66" spans="6:14" ht="15.75" customHeight="1" x14ac:dyDescent="0.3">
      <c r="F66" s="22"/>
      <c r="M66" s="8"/>
      <c r="N66" s="5"/>
    </row>
    <row r="67" spans="6:14" ht="15.75" customHeight="1" x14ac:dyDescent="0.25">
      <c r="F67" s="22"/>
      <c r="M67" s="77" t="s">
        <v>93</v>
      </c>
      <c r="N67" s="81" t="s">
        <v>172</v>
      </c>
    </row>
    <row r="68" spans="6:14" ht="15.75" customHeight="1" x14ac:dyDescent="0.3">
      <c r="F68" s="22"/>
      <c r="M68" s="8"/>
    </row>
    <row r="69" spans="6:14" ht="15.75" customHeight="1" x14ac:dyDescent="0.3">
      <c r="F69" s="22"/>
      <c r="M69" s="8"/>
      <c r="N69" s="14" t="s">
        <v>98</v>
      </c>
    </row>
    <row r="70" spans="6:14" ht="15.75" customHeight="1" x14ac:dyDescent="0.3">
      <c r="F70" s="22"/>
      <c r="M70" s="8"/>
      <c r="N70" s="2"/>
    </row>
    <row r="71" spans="6:14" ht="15.75" customHeight="1" x14ac:dyDescent="0.25">
      <c r="F71" s="22"/>
      <c r="M71" s="96" t="s">
        <v>87</v>
      </c>
      <c r="N71" s="13">
        <f>YEAR(H2)</f>
        <v>2026</v>
      </c>
    </row>
    <row r="72" spans="6:14" ht="15.75" customHeight="1" x14ac:dyDescent="0.25">
      <c r="F72" s="22"/>
      <c r="M72" s="96"/>
      <c r="N72" s="12" t="str">
        <f>CONCATENATE(H2," ",N71)</f>
        <v>28-JAN 2026</v>
      </c>
    </row>
    <row r="73" spans="6:14" ht="15.75" customHeight="1" x14ac:dyDescent="0.25">
      <c r="F73" s="22"/>
      <c r="M73" s="77" t="s">
        <v>93</v>
      </c>
      <c r="N73" s="84">
        <v>46050</v>
      </c>
    </row>
    <row r="74" spans="6:14" ht="15.75" customHeight="1" x14ac:dyDescent="0.25">
      <c r="F74" s="22"/>
      <c r="M74" s="74"/>
    </row>
    <row r="75" spans="6:14" ht="15.75" customHeight="1" x14ac:dyDescent="0.3">
      <c r="F75" s="22"/>
      <c r="M75" s="8"/>
      <c r="N75" s="4" t="s">
        <v>99</v>
      </c>
    </row>
    <row r="76" spans="6:14" ht="15.75" customHeight="1" x14ac:dyDescent="0.3">
      <c r="F76" s="22"/>
      <c r="M76" s="8"/>
    </row>
    <row r="77" spans="6:14" ht="15.75" customHeight="1" x14ac:dyDescent="0.3">
      <c r="F77" s="22"/>
      <c r="M77" s="8"/>
      <c r="N77" s="14" t="s">
        <v>100</v>
      </c>
    </row>
    <row r="78" spans="6:14" ht="15.75" customHeight="1" x14ac:dyDescent="0.3">
      <c r="F78" s="22"/>
      <c r="M78" s="8"/>
    </row>
    <row r="79" spans="6:14" ht="15.75" customHeight="1" x14ac:dyDescent="0.25">
      <c r="F79" s="22"/>
      <c r="M79" s="7" t="s">
        <v>87</v>
      </c>
      <c r="N79" s="3" t="s">
        <v>237</v>
      </c>
    </row>
    <row r="80" spans="6:14" ht="15.75" customHeight="1" x14ac:dyDescent="0.3">
      <c r="F80" s="22"/>
      <c r="M80" s="8"/>
    </row>
    <row r="81" spans="6:17" ht="15.75" customHeight="1" x14ac:dyDescent="0.25">
      <c r="F81" s="22"/>
      <c r="M81" s="110"/>
      <c r="N81" s="111"/>
    </row>
    <row r="82" spans="6:17" ht="15.75" customHeight="1" x14ac:dyDescent="0.3">
      <c r="F82" s="22"/>
      <c r="M82" s="8"/>
    </row>
    <row r="83" spans="6:17" ht="15.75" customHeight="1" x14ac:dyDescent="0.25">
      <c r="F83" s="22"/>
      <c r="M83" s="16" t="s">
        <v>93</v>
      </c>
      <c r="N83" s="92"/>
      <c r="O83" s="93"/>
      <c r="P83" s="94"/>
      <c r="Q83" s="95"/>
    </row>
    <row r="84" spans="6:17" ht="15.75" customHeight="1" x14ac:dyDescent="0.35">
      <c r="F84" s="22"/>
      <c r="M84" s="8"/>
      <c r="N84" s="15" t="s">
        <v>101</v>
      </c>
    </row>
    <row r="85" spans="6:17" ht="15.75" customHeight="1" x14ac:dyDescent="0.3">
      <c r="F85" s="22"/>
      <c r="M85" s="8"/>
    </row>
    <row r="86" spans="6:17" ht="15.75" customHeight="1" x14ac:dyDescent="0.25">
      <c r="F86" s="22"/>
      <c r="M86" s="7" t="s">
        <v>87</v>
      </c>
      <c r="N86" t="b">
        <f>$F2="ELECTRONICS"</f>
        <v>1</v>
      </c>
    </row>
    <row r="87" spans="6:17" ht="15.75" customHeight="1" x14ac:dyDescent="0.3">
      <c r="F87" s="22"/>
      <c r="M87" s="8"/>
    </row>
    <row r="88" spans="6:17" ht="15.75" customHeight="1" x14ac:dyDescent="0.25">
      <c r="F88" s="22"/>
      <c r="M88" s="16" t="s">
        <v>93</v>
      </c>
    </row>
    <row r="89" spans="6:17" ht="15.75" customHeight="1" x14ac:dyDescent="0.25">
      <c r="F89" s="22"/>
    </row>
    <row r="90" spans="6:17" ht="15.75" customHeight="1" x14ac:dyDescent="0.25">
      <c r="F90" s="22"/>
    </row>
    <row r="91" spans="6:17" ht="15.75" customHeight="1" x14ac:dyDescent="0.25">
      <c r="F91" s="22"/>
    </row>
    <row r="92" spans="6:17" ht="15.75" customHeight="1" x14ac:dyDescent="0.25">
      <c r="F92" s="22"/>
    </row>
    <row r="93" spans="6:17" ht="15.75" customHeight="1" x14ac:dyDescent="0.25">
      <c r="F93" s="22"/>
    </row>
    <row r="94" spans="6:17" ht="15.75" customHeight="1" x14ac:dyDescent="0.25">
      <c r="F94" s="22"/>
    </row>
    <row r="95" spans="6:17" ht="15.75" customHeight="1" x14ac:dyDescent="0.25">
      <c r="F95" s="22"/>
    </row>
    <row r="96" spans="6:17" ht="15.75" customHeight="1" x14ac:dyDescent="0.25">
      <c r="F96" s="22"/>
    </row>
    <row r="97" spans="6:6" ht="15.75" customHeight="1" x14ac:dyDescent="0.25">
      <c r="F97" s="22"/>
    </row>
    <row r="98" spans="6:6" ht="15.75" customHeight="1" x14ac:dyDescent="0.25">
      <c r="F98" s="22"/>
    </row>
    <row r="99" spans="6:6" ht="15.75" customHeight="1" x14ac:dyDescent="0.25">
      <c r="F99" s="22"/>
    </row>
    <row r="100" spans="6:6" ht="15.75" customHeight="1" x14ac:dyDescent="0.25">
      <c r="F100" s="22"/>
    </row>
    <row r="101" spans="6:6" ht="15.75" customHeight="1" x14ac:dyDescent="0.25">
      <c r="F101" s="22"/>
    </row>
    <row r="102" spans="6:6" ht="15.75" customHeight="1" x14ac:dyDescent="0.25">
      <c r="F102" s="22"/>
    </row>
    <row r="103" spans="6:6" ht="15.75" customHeight="1" x14ac:dyDescent="0.25">
      <c r="F103" s="22"/>
    </row>
    <row r="104" spans="6:6" ht="15.75" customHeight="1" x14ac:dyDescent="0.25">
      <c r="F104" s="22"/>
    </row>
    <row r="105" spans="6:6" ht="15.75" customHeight="1" x14ac:dyDescent="0.25">
      <c r="F105" s="22"/>
    </row>
    <row r="106" spans="6:6" ht="15.75" customHeight="1" x14ac:dyDescent="0.25">
      <c r="F106" s="22"/>
    </row>
    <row r="107" spans="6:6" ht="15.75" customHeight="1" x14ac:dyDescent="0.25">
      <c r="F107" s="22"/>
    </row>
    <row r="108" spans="6:6" ht="15.75" customHeight="1" x14ac:dyDescent="0.25">
      <c r="F108" s="22"/>
    </row>
    <row r="109" spans="6:6" ht="15.75" customHeight="1" x14ac:dyDescent="0.25">
      <c r="F109" s="22"/>
    </row>
    <row r="110" spans="6:6" ht="15.75" customHeight="1" x14ac:dyDescent="0.25">
      <c r="F110" s="22"/>
    </row>
    <row r="111" spans="6:6" ht="15.75" customHeight="1" x14ac:dyDescent="0.25">
      <c r="F111" s="22"/>
    </row>
    <row r="112" spans="6:6" ht="15.75" customHeight="1" x14ac:dyDescent="0.25">
      <c r="F112" s="22"/>
    </row>
    <row r="113" spans="6:6" ht="15.75" customHeight="1" x14ac:dyDescent="0.25">
      <c r="F113" s="22"/>
    </row>
    <row r="114" spans="6:6" ht="15.75" customHeight="1" x14ac:dyDescent="0.25">
      <c r="F114" s="22"/>
    </row>
    <row r="115" spans="6:6" ht="15.75" customHeight="1" x14ac:dyDescent="0.25">
      <c r="F115" s="22"/>
    </row>
    <row r="116" spans="6:6" ht="15.75" customHeight="1" x14ac:dyDescent="0.25">
      <c r="F116" s="22"/>
    </row>
    <row r="117" spans="6:6" ht="15.75" customHeight="1" x14ac:dyDescent="0.25">
      <c r="F117" s="22"/>
    </row>
    <row r="118" spans="6:6" ht="15.75" customHeight="1" x14ac:dyDescent="0.25">
      <c r="F118" s="22"/>
    </row>
    <row r="119" spans="6:6" ht="15.75" customHeight="1" x14ac:dyDescent="0.25">
      <c r="F119" s="22"/>
    </row>
    <row r="120" spans="6:6" ht="15.75" customHeight="1" x14ac:dyDescent="0.25">
      <c r="F120" s="22"/>
    </row>
    <row r="121" spans="6:6" ht="15.75" customHeight="1" x14ac:dyDescent="0.25">
      <c r="F121" s="22"/>
    </row>
    <row r="122" spans="6:6" ht="15.75" customHeight="1" x14ac:dyDescent="0.25">
      <c r="F122" s="22"/>
    </row>
    <row r="123" spans="6:6" ht="15.75" customHeight="1" x14ac:dyDescent="0.25">
      <c r="F123" s="22"/>
    </row>
    <row r="124" spans="6:6" ht="15.75" customHeight="1" x14ac:dyDescent="0.25">
      <c r="F124" s="22"/>
    </row>
    <row r="125" spans="6:6" ht="15.75" customHeight="1" x14ac:dyDescent="0.25">
      <c r="F125" s="22"/>
    </row>
    <row r="126" spans="6:6" ht="15.75" customHeight="1" x14ac:dyDescent="0.25">
      <c r="F126" s="22"/>
    </row>
    <row r="127" spans="6:6" ht="15.75" customHeight="1" x14ac:dyDescent="0.25">
      <c r="F127" s="22"/>
    </row>
    <row r="128" spans="6:6" ht="15.75" customHeight="1" x14ac:dyDescent="0.25">
      <c r="F128" s="22"/>
    </row>
    <row r="129" spans="6:6" ht="15.75" customHeight="1" x14ac:dyDescent="0.25">
      <c r="F129" s="22"/>
    </row>
    <row r="130" spans="6:6" ht="15.75" customHeight="1" x14ac:dyDescent="0.25">
      <c r="F130" s="22"/>
    </row>
    <row r="131" spans="6:6" ht="15.75" customHeight="1" x14ac:dyDescent="0.25">
      <c r="F131" s="22"/>
    </row>
    <row r="132" spans="6:6" ht="15.75" customHeight="1" x14ac:dyDescent="0.25">
      <c r="F132" s="22"/>
    </row>
    <row r="133" spans="6:6" ht="15.75" customHeight="1" x14ac:dyDescent="0.25">
      <c r="F133" s="22"/>
    </row>
    <row r="134" spans="6:6" ht="15.75" customHeight="1" x14ac:dyDescent="0.25">
      <c r="F134" s="22"/>
    </row>
    <row r="135" spans="6:6" ht="15.75" customHeight="1" x14ac:dyDescent="0.25">
      <c r="F135" s="22"/>
    </row>
    <row r="136" spans="6:6" ht="15.75" customHeight="1" x14ac:dyDescent="0.25">
      <c r="F136" s="22"/>
    </row>
    <row r="137" spans="6:6" ht="15.75" customHeight="1" x14ac:dyDescent="0.25">
      <c r="F137" s="22"/>
    </row>
    <row r="138" spans="6:6" ht="15.75" customHeight="1" x14ac:dyDescent="0.25">
      <c r="F138" s="22"/>
    </row>
    <row r="139" spans="6:6" ht="15.75" customHeight="1" x14ac:dyDescent="0.25">
      <c r="F139" s="22"/>
    </row>
    <row r="140" spans="6:6" ht="15.75" customHeight="1" x14ac:dyDescent="0.25">
      <c r="F140" s="22"/>
    </row>
    <row r="141" spans="6:6" ht="15.75" customHeight="1" x14ac:dyDescent="0.25">
      <c r="F141" s="22"/>
    </row>
    <row r="142" spans="6:6" ht="15.75" customHeight="1" x14ac:dyDescent="0.25">
      <c r="F142" s="22"/>
    </row>
    <row r="143" spans="6:6" ht="15.75" customHeight="1" x14ac:dyDescent="0.25">
      <c r="F143" s="22"/>
    </row>
    <row r="144" spans="6:6" ht="15.75" customHeight="1" x14ac:dyDescent="0.25">
      <c r="F144" s="22"/>
    </row>
    <row r="145" spans="6:6" ht="15.75" customHeight="1" x14ac:dyDescent="0.25">
      <c r="F145" s="22"/>
    </row>
    <row r="146" spans="6:6" ht="15.75" customHeight="1" x14ac:dyDescent="0.25">
      <c r="F146" s="22"/>
    </row>
    <row r="147" spans="6:6" ht="15.75" customHeight="1" x14ac:dyDescent="0.25">
      <c r="F147" s="22"/>
    </row>
    <row r="148" spans="6:6" ht="15.75" customHeight="1" x14ac:dyDescent="0.25">
      <c r="F148" s="22"/>
    </row>
    <row r="149" spans="6:6" ht="15.75" customHeight="1" x14ac:dyDescent="0.25">
      <c r="F149" s="22"/>
    </row>
    <row r="150" spans="6:6" ht="15.75" customHeight="1" x14ac:dyDescent="0.25">
      <c r="F150" s="22"/>
    </row>
    <row r="151" spans="6:6" ht="15.75" customHeight="1" x14ac:dyDescent="0.25">
      <c r="F151" s="22"/>
    </row>
    <row r="152" spans="6:6" ht="15.75" customHeight="1" x14ac:dyDescent="0.25">
      <c r="F152" s="22"/>
    </row>
    <row r="153" spans="6:6" ht="15.75" customHeight="1" x14ac:dyDescent="0.25">
      <c r="F153" s="22"/>
    </row>
    <row r="154" spans="6:6" ht="15.75" customHeight="1" x14ac:dyDescent="0.25">
      <c r="F154" s="22"/>
    </row>
    <row r="155" spans="6:6" ht="15.75" customHeight="1" x14ac:dyDescent="0.25"/>
    <row r="156" spans="6:6" ht="15.75" customHeight="1" x14ac:dyDescent="0.25"/>
    <row r="157" spans="6:6" ht="15.75" customHeight="1" x14ac:dyDescent="0.25"/>
    <row r="158" spans="6:6" ht="15.75" customHeight="1" x14ac:dyDescent="0.25"/>
    <row r="159" spans="6:6" ht="15.75" customHeight="1" x14ac:dyDescent="0.25"/>
    <row r="160" spans="6: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">
    <mergeCell ref="N14:N15"/>
    <mergeCell ref="M71:M72"/>
    <mergeCell ref="M8:M10"/>
    <mergeCell ref="M14:M16"/>
    <mergeCell ref="M50:M51"/>
    <mergeCell ref="M52:M53"/>
  </mergeCells>
  <phoneticPr fontId="15" type="noConversion"/>
  <conditionalFormatting sqref="C42:C4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{AC8A4292-8185-4410-9EFA-BBC7EF069CCF}</x14:id>
        </ext>
      </extLst>
    </cfRule>
  </conditionalFormatting>
  <conditionalFormatting sqref="D1:D41 D44:D1048576 C42:C4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{E83C1ADC-7A29-4F18-B605-9DF170E07068}</x14:id>
        </ext>
      </extLst>
    </cfRule>
  </conditionalFormatting>
  <conditionalFormatting sqref="D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{F697E102-4625-4837-A638-B7E31F78B987}</x14:id>
        </ext>
      </extLst>
    </cfRule>
  </conditionalFormatting>
  <conditionalFormatting sqref="E1:E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ellIs" dxfId="3" priority="9" operator="greaterThan">
      <formula>$F$1</formula>
    </cfRule>
  </conditionalFormatting>
  <conditionalFormatting sqref="F2:F32">
    <cfRule type="expression" dxfId="2" priority="1">
      <formula>$F2="ELECTRONICS"</formula>
    </cfRule>
  </conditionalFormatting>
  <conditionalFormatting sqref="F34">
    <cfRule type="duplicateValues" dxfId="1" priority="6"/>
  </conditionalFormatting>
  <conditionalFormatting sqref="Q8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{D97AB987-59C5-437E-BAF5-9B6F8A06C5B4}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8A4292-8185-4410-9EFA-BBC7EF069C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C42:C43</xm:sqref>
        </x14:conditionalFormatting>
        <x14:conditionalFormatting xmlns:xm="http://schemas.microsoft.com/office/excel/2006/main">
          <x14:cfRule type="dataBar" id="{E83C1ADC-7A29-4F18-B605-9DF170E07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D1:D41 D44:D1048576 C42:C43</xm:sqref>
        </x14:conditionalFormatting>
        <x14:conditionalFormatting xmlns:xm="http://schemas.microsoft.com/office/excel/2006/main">
          <x14:cfRule type="dataBar" id="{F697E102-4625-4837-A638-B7E31F78B9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</xm:sqref>
        </x14:conditionalFormatting>
        <x14:conditionalFormatting xmlns:xm="http://schemas.microsoft.com/office/excel/2006/main">
          <x14:cfRule type="dataBar" id="{D97AB987-59C5-437E-BAF5-9B6F8A06C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Idaya Gracy Jude</cp:lastModifiedBy>
  <dcterms:modified xsi:type="dcterms:W3CDTF">2026-05-31T00:05:57Z</dcterms:modified>
</cp:coreProperties>
</file>